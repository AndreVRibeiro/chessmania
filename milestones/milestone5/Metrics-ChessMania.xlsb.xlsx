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 Basel\Mdl. Foundations of Computer Science\Programmierprojekt\Metrics\"/>
    </mc:Choice>
  </mc:AlternateContent>
  <xr:revisionPtr revIDLastSave="0" documentId="13_ncr:1_{425F0B8C-B92A-4980-AB33-3FC1D33B124A}" xr6:coauthVersionLast="46" xr6:coauthVersionMax="46" xr10:uidLastSave="{00000000-0000-0000-0000-000000000000}"/>
  <bookViews>
    <workbookView xWindow="-108" yWindow="-108" windowWidth="23256" windowHeight="12576" xr2:uid="{9717B4F9-B9E7-4250-B66B-5EC2D2E90D9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1" l="1"/>
  <c r="AD2" i="1"/>
  <c r="AC2" i="1"/>
  <c r="C2" i="1"/>
  <c r="D2" i="1"/>
  <c r="E2" i="1"/>
  <c r="F2" i="1"/>
  <c r="G2" i="1"/>
  <c r="H2" i="1"/>
  <c r="I2" i="1"/>
  <c r="J2" i="1"/>
  <c r="AB2" i="1"/>
  <c r="AA2" i="1"/>
  <c r="Z2" i="1"/>
  <c r="Y2" i="1"/>
  <c r="X2" i="1"/>
  <c r="W2" i="1"/>
  <c r="V2" i="1"/>
  <c r="U2" i="1"/>
  <c r="T2" i="1"/>
  <c r="R21" i="1"/>
  <c r="S2" i="1"/>
  <c r="R2" i="1"/>
  <c r="Q2" i="1"/>
  <c r="P2" i="1"/>
  <c r="O2" i="1"/>
  <c r="N2" i="1"/>
  <c r="M2" i="1"/>
  <c r="L2" i="1"/>
  <c r="K2" i="1"/>
</calcChain>
</file>

<file path=xl/sharedStrings.xml><?xml version="1.0" encoding="utf-8"?>
<sst xmlns="http://schemas.openxmlformats.org/spreadsheetml/2006/main" count="15" uniqueCount="14">
  <si>
    <t>Total lines of code</t>
  </si>
  <si>
    <t>Average lines of code per package</t>
  </si>
  <si>
    <t>Number of java files</t>
  </si>
  <si>
    <t>Average cyclomatic complexity</t>
  </si>
  <si>
    <t>Total cyclomatic complexity</t>
  </si>
  <si>
    <t>Javadoc coverage metrics</t>
  </si>
  <si>
    <t>Date</t>
  </si>
  <si>
    <t>Lines of code metrics</t>
  </si>
  <si>
    <t>Cyclomatic Complexity metrics</t>
  </si>
  <si>
    <t>Average Class coverage</t>
  </si>
  <si>
    <t>Average Method coverage</t>
  </si>
  <si>
    <t>Average Field coverage</t>
  </si>
  <si>
    <t>Amount of Logging-Statements</t>
  </si>
  <si>
    <t>Code Coverage (Unit-Tests)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</si>
</sst>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14" fontId="0" fillId="0" borderId="0" xfId="0" applyNumberFormat="1"/>
    <xf numFmtId="10" fontId="0" fillId="0" borderId="0" xfId="0" applyNumberFormat="1"/>
    <xf numFmtId="0" fontId="1" fillId="0" borderId="0" xfId="0" applyFont="1"/>
    <xf numFmtId="0" fontId="0" fillId="0" borderId="0" xfId="0" applyNumberFormat="1"/>
    <xf numFmtId="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Percentage</a:t>
            </a:r>
            <a:r>
              <a:rPr lang="de-DE" baseline="0"/>
              <a:t> of documented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Tabelle1!$A$9</c:f>
              <c:strCache>
                <c:ptCount val="1"/>
                <c:pt idx="0">
                  <c:v>Average Class coverage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Tabelle1!$C$2:$AE$2</c:f>
              <c:numCache>
                <c:formatCode>m/d/yyyy</c:formatCode>
                <c:ptCount val="29"/>
                <c:pt idx="0">
                  <c:v>44284</c:v>
                </c:pt>
                <c:pt idx="1">
                  <c:v>44286</c:v>
                </c:pt>
                <c:pt idx="2">
                  <c:v>44288</c:v>
                </c:pt>
                <c:pt idx="3">
                  <c:v>44290</c:v>
                </c:pt>
                <c:pt idx="4">
                  <c:v>44292</c:v>
                </c:pt>
                <c:pt idx="5">
                  <c:v>44294</c:v>
                </c:pt>
                <c:pt idx="6">
                  <c:v>44296</c:v>
                </c:pt>
                <c:pt idx="7">
                  <c:v>44298</c:v>
                </c:pt>
                <c:pt idx="8">
                  <c:v>44300</c:v>
                </c:pt>
                <c:pt idx="9">
                  <c:v>44302</c:v>
                </c:pt>
                <c:pt idx="10">
                  <c:v>44304</c:v>
                </c:pt>
                <c:pt idx="11">
                  <c:v>44306</c:v>
                </c:pt>
                <c:pt idx="12">
                  <c:v>44308</c:v>
                </c:pt>
                <c:pt idx="13">
                  <c:v>44310</c:v>
                </c:pt>
                <c:pt idx="14">
                  <c:v>44312</c:v>
                </c:pt>
                <c:pt idx="15">
                  <c:v>44314</c:v>
                </c:pt>
                <c:pt idx="16">
                  <c:v>44316</c:v>
                </c:pt>
                <c:pt idx="17">
                  <c:v>44318</c:v>
                </c:pt>
                <c:pt idx="18">
                  <c:v>44320</c:v>
                </c:pt>
                <c:pt idx="19">
                  <c:v>44322</c:v>
                </c:pt>
                <c:pt idx="20">
                  <c:v>44324</c:v>
                </c:pt>
                <c:pt idx="21">
                  <c:v>44326</c:v>
                </c:pt>
                <c:pt idx="22">
                  <c:v>44328</c:v>
                </c:pt>
                <c:pt idx="23">
                  <c:v>44330</c:v>
                </c:pt>
                <c:pt idx="24">
                  <c:v>44332</c:v>
                </c:pt>
                <c:pt idx="25">
                  <c:v>44334</c:v>
                </c:pt>
                <c:pt idx="26">
                  <c:v>44336</c:v>
                </c:pt>
                <c:pt idx="27">
                  <c:v>44338</c:v>
                </c:pt>
                <c:pt idx="28">
                  <c:v>44340</c:v>
                </c:pt>
              </c:numCache>
            </c:numRef>
          </c:cat>
          <c:val>
            <c:numRef>
              <c:f>Tabelle1!$C$9:$AE$9</c:f>
              <c:numCache>
                <c:formatCode>0.00%</c:formatCode>
                <c:ptCount val="29"/>
                <c:pt idx="0">
                  <c:v>0.37040000000000001</c:v>
                </c:pt>
                <c:pt idx="1">
                  <c:v>0.25640000000000002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0.23810000000000001</c:v>
                </c:pt>
                <c:pt idx="6">
                  <c:v>0.2326</c:v>
                </c:pt>
                <c:pt idx="7">
                  <c:v>0.2326</c:v>
                </c:pt>
                <c:pt idx="8">
                  <c:v>0.37040000000000001</c:v>
                </c:pt>
                <c:pt idx="9">
                  <c:v>0.37040000000000001</c:v>
                </c:pt>
                <c:pt idx="10">
                  <c:v>0.33329999999999999</c:v>
                </c:pt>
                <c:pt idx="11">
                  <c:v>0.33329999999999999</c:v>
                </c:pt>
                <c:pt idx="12">
                  <c:v>0.33329999999999999</c:v>
                </c:pt>
                <c:pt idx="13">
                  <c:v>0.33329999999999999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0.23810000000000001</c:v>
                </c:pt>
                <c:pt idx="19">
                  <c:v>0.23810000000000001</c:v>
                </c:pt>
                <c:pt idx="20">
                  <c:v>0.23810000000000001</c:v>
                </c:pt>
                <c:pt idx="21">
                  <c:v>0.33329999999999999</c:v>
                </c:pt>
                <c:pt idx="22">
                  <c:v>0.3256</c:v>
                </c:pt>
                <c:pt idx="23">
                  <c:v>0.3256</c:v>
                </c:pt>
                <c:pt idx="24">
                  <c:v>0.3256</c:v>
                </c:pt>
                <c:pt idx="25">
                  <c:v>0.37209999999999999</c:v>
                </c:pt>
                <c:pt idx="26">
                  <c:v>0.37209999999999999</c:v>
                </c:pt>
                <c:pt idx="27">
                  <c:v>0.76639999999999997</c:v>
                </c:pt>
                <c:pt idx="28">
                  <c:v>0.77269999999999994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25-4739-9921-5F9336AECF47}"/>
            </c:ext>
          </c:extLst>
        </c:ser>
        <c:ser>
          <c:idx val="1"/>
          <c:order val="1"/>
          <c:tx>
            <c:strRef>
              <c:f>Tabelle1!$A$10</c:f>
              <c:strCache>
                <c:ptCount val="1"/>
                <c:pt idx="0">
                  <c:v>Average Method coverage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Tabelle1!$C$2:$AE$2</c:f>
              <c:numCache>
                <c:formatCode>m/d/yyyy</c:formatCode>
                <c:ptCount val="29"/>
                <c:pt idx="0">
                  <c:v>44284</c:v>
                </c:pt>
                <c:pt idx="1">
                  <c:v>44286</c:v>
                </c:pt>
                <c:pt idx="2">
                  <c:v>44288</c:v>
                </c:pt>
                <c:pt idx="3">
                  <c:v>44290</c:v>
                </c:pt>
                <c:pt idx="4">
                  <c:v>44292</c:v>
                </c:pt>
                <c:pt idx="5">
                  <c:v>44294</c:v>
                </c:pt>
                <c:pt idx="6">
                  <c:v>44296</c:v>
                </c:pt>
                <c:pt idx="7">
                  <c:v>44298</c:v>
                </c:pt>
                <c:pt idx="8">
                  <c:v>44300</c:v>
                </c:pt>
                <c:pt idx="9">
                  <c:v>44302</c:v>
                </c:pt>
                <c:pt idx="10">
                  <c:v>44304</c:v>
                </c:pt>
                <c:pt idx="11">
                  <c:v>44306</c:v>
                </c:pt>
                <c:pt idx="12">
                  <c:v>44308</c:v>
                </c:pt>
                <c:pt idx="13">
                  <c:v>44310</c:v>
                </c:pt>
                <c:pt idx="14">
                  <c:v>44312</c:v>
                </c:pt>
                <c:pt idx="15">
                  <c:v>44314</c:v>
                </c:pt>
                <c:pt idx="16">
                  <c:v>44316</c:v>
                </c:pt>
                <c:pt idx="17">
                  <c:v>44318</c:v>
                </c:pt>
                <c:pt idx="18">
                  <c:v>44320</c:v>
                </c:pt>
                <c:pt idx="19">
                  <c:v>44322</c:v>
                </c:pt>
                <c:pt idx="20">
                  <c:v>44324</c:v>
                </c:pt>
                <c:pt idx="21">
                  <c:v>44326</c:v>
                </c:pt>
                <c:pt idx="22">
                  <c:v>44328</c:v>
                </c:pt>
                <c:pt idx="23">
                  <c:v>44330</c:v>
                </c:pt>
                <c:pt idx="24">
                  <c:v>44332</c:v>
                </c:pt>
                <c:pt idx="25">
                  <c:v>44334</c:v>
                </c:pt>
                <c:pt idx="26">
                  <c:v>44336</c:v>
                </c:pt>
                <c:pt idx="27">
                  <c:v>44338</c:v>
                </c:pt>
                <c:pt idx="28">
                  <c:v>44340</c:v>
                </c:pt>
              </c:numCache>
            </c:numRef>
          </c:cat>
          <c:val>
            <c:numRef>
              <c:f>Tabelle1!$C$10:$AE$10</c:f>
              <c:numCache>
                <c:formatCode>0.00%</c:formatCode>
                <c:ptCount val="29"/>
                <c:pt idx="0">
                  <c:v>0.38100000000000001</c:v>
                </c:pt>
                <c:pt idx="1">
                  <c:v>0.3</c:v>
                </c:pt>
                <c:pt idx="2">
                  <c:v>0.28239999999999998</c:v>
                </c:pt>
                <c:pt idx="3">
                  <c:v>0.28739999999999999</c:v>
                </c:pt>
                <c:pt idx="4">
                  <c:v>0.3402</c:v>
                </c:pt>
                <c:pt idx="5">
                  <c:v>0.57850000000000001</c:v>
                </c:pt>
                <c:pt idx="6">
                  <c:v>0.56000000000000005</c:v>
                </c:pt>
                <c:pt idx="7">
                  <c:v>0.57169999999999999</c:v>
                </c:pt>
                <c:pt idx="8">
                  <c:v>0.47489999999999999</c:v>
                </c:pt>
                <c:pt idx="9">
                  <c:v>0.43</c:v>
                </c:pt>
                <c:pt idx="10">
                  <c:v>0.3896</c:v>
                </c:pt>
                <c:pt idx="11">
                  <c:v>0.3896</c:v>
                </c:pt>
                <c:pt idx="12">
                  <c:v>0.3896</c:v>
                </c:pt>
                <c:pt idx="13">
                  <c:v>0.3896</c:v>
                </c:pt>
                <c:pt idx="14">
                  <c:v>0.40060000000000001</c:v>
                </c:pt>
                <c:pt idx="15">
                  <c:v>0.40060000000000001</c:v>
                </c:pt>
                <c:pt idx="16">
                  <c:v>0.39810000000000001</c:v>
                </c:pt>
                <c:pt idx="17">
                  <c:v>0.39810000000000001</c:v>
                </c:pt>
                <c:pt idx="18">
                  <c:v>0.38390000000000002</c:v>
                </c:pt>
                <c:pt idx="19">
                  <c:v>0.38390000000000002</c:v>
                </c:pt>
                <c:pt idx="20">
                  <c:v>0.38390000000000002</c:v>
                </c:pt>
                <c:pt idx="21">
                  <c:v>0.48680000000000001</c:v>
                </c:pt>
                <c:pt idx="22">
                  <c:v>0.48830000000000001</c:v>
                </c:pt>
                <c:pt idx="23">
                  <c:v>0.48830000000000001</c:v>
                </c:pt>
                <c:pt idx="24">
                  <c:v>0.48830000000000001</c:v>
                </c:pt>
                <c:pt idx="25">
                  <c:v>0.3478</c:v>
                </c:pt>
                <c:pt idx="26">
                  <c:v>0.34720000000000001</c:v>
                </c:pt>
                <c:pt idx="27">
                  <c:v>0.53349999999999997</c:v>
                </c:pt>
                <c:pt idx="28">
                  <c:v>0.52780000000000005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25-4739-9921-5F9336AECF47}"/>
            </c:ext>
          </c:extLst>
        </c:ser>
        <c:ser>
          <c:idx val="2"/>
          <c:order val="2"/>
          <c:tx>
            <c:strRef>
              <c:f>Tabelle1!$A$11</c:f>
              <c:strCache>
                <c:ptCount val="1"/>
                <c:pt idx="0">
                  <c:v>Average Field coverage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Tabelle1!$C$2:$AE$2</c:f>
              <c:numCache>
                <c:formatCode>m/d/yyyy</c:formatCode>
                <c:ptCount val="29"/>
                <c:pt idx="0">
                  <c:v>44284</c:v>
                </c:pt>
                <c:pt idx="1">
                  <c:v>44286</c:v>
                </c:pt>
                <c:pt idx="2">
                  <c:v>44288</c:v>
                </c:pt>
                <c:pt idx="3">
                  <c:v>44290</c:v>
                </c:pt>
                <c:pt idx="4">
                  <c:v>44292</c:v>
                </c:pt>
                <c:pt idx="5">
                  <c:v>44294</c:v>
                </c:pt>
                <c:pt idx="6">
                  <c:v>44296</c:v>
                </c:pt>
                <c:pt idx="7">
                  <c:v>44298</c:v>
                </c:pt>
                <c:pt idx="8">
                  <c:v>44300</c:v>
                </c:pt>
                <c:pt idx="9">
                  <c:v>44302</c:v>
                </c:pt>
                <c:pt idx="10">
                  <c:v>44304</c:v>
                </c:pt>
                <c:pt idx="11">
                  <c:v>44306</c:v>
                </c:pt>
                <c:pt idx="12">
                  <c:v>44308</c:v>
                </c:pt>
                <c:pt idx="13">
                  <c:v>44310</c:v>
                </c:pt>
                <c:pt idx="14">
                  <c:v>44312</c:v>
                </c:pt>
                <c:pt idx="15">
                  <c:v>44314</c:v>
                </c:pt>
                <c:pt idx="16">
                  <c:v>44316</c:v>
                </c:pt>
                <c:pt idx="17">
                  <c:v>44318</c:v>
                </c:pt>
                <c:pt idx="18">
                  <c:v>44320</c:v>
                </c:pt>
                <c:pt idx="19">
                  <c:v>44322</c:v>
                </c:pt>
                <c:pt idx="20">
                  <c:v>44324</c:v>
                </c:pt>
                <c:pt idx="21">
                  <c:v>44326</c:v>
                </c:pt>
                <c:pt idx="22">
                  <c:v>44328</c:v>
                </c:pt>
                <c:pt idx="23">
                  <c:v>44330</c:v>
                </c:pt>
                <c:pt idx="24">
                  <c:v>44332</c:v>
                </c:pt>
                <c:pt idx="25">
                  <c:v>44334</c:v>
                </c:pt>
                <c:pt idx="26">
                  <c:v>44336</c:v>
                </c:pt>
                <c:pt idx="27">
                  <c:v>44338</c:v>
                </c:pt>
                <c:pt idx="28">
                  <c:v>44340</c:v>
                </c:pt>
              </c:numCache>
            </c:numRef>
          </c:cat>
          <c:val>
            <c:numRef>
              <c:f>Tabelle1!$C$11:$AE$11</c:f>
              <c:numCache>
                <c:formatCode>0.00%</c:formatCode>
                <c:ptCount val="29"/>
                <c:pt idx="0">
                  <c:v>0.42030000000000001</c:v>
                </c:pt>
                <c:pt idx="1">
                  <c:v>0.38159999999999999</c:v>
                </c:pt>
                <c:pt idx="2">
                  <c:v>0.34520000000000001</c:v>
                </c:pt>
                <c:pt idx="3">
                  <c:v>0.33700000000000002</c:v>
                </c:pt>
                <c:pt idx="4">
                  <c:v>0.3448</c:v>
                </c:pt>
                <c:pt idx="5">
                  <c:v>0.2843</c:v>
                </c:pt>
                <c:pt idx="6">
                  <c:v>0.25219999999999998</c:v>
                </c:pt>
                <c:pt idx="7">
                  <c:v>0.25219999999999998</c:v>
                </c:pt>
                <c:pt idx="8">
                  <c:v>0.21190000000000001</c:v>
                </c:pt>
                <c:pt idx="9">
                  <c:v>0.19389999999999999</c:v>
                </c:pt>
                <c:pt idx="10">
                  <c:v>0.17299999999999999</c:v>
                </c:pt>
                <c:pt idx="11">
                  <c:v>0.17299999999999999</c:v>
                </c:pt>
                <c:pt idx="12">
                  <c:v>0.17299999999999999</c:v>
                </c:pt>
                <c:pt idx="13">
                  <c:v>0.17299999999999999</c:v>
                </c:pt>
                <c:pt idx="14">
                  <c:v>0.1966</c:v>
                </c:pt>
                <c:pt idx="15">
                  <c:v>0.19020000000000001</c:v>
                </c:pt>
                <c:pt idx="16">
                  <c:v>0.18920000000000001</c:v>
                </c:pt>
                <c:pt idx="17">
                  <c:v>0.18920000000000001</c:v>
                </c:pt>
                <c:pt idx="18">
                  <c:v>0.1724</c:v>
                </c:pt>
                <c:pt idx="19">
                  <c:v>0.1724</c:v>
                </c:pt>
                <c:pt idx="20">
                  <c:v>0.1724</c:v>
                </c:pt>
                <c:pt idx="21">
                  <c:v>0.16</c:v>
                </c:pt>
                <c:pt idx="22">
                  <c:v>0.15379999999999999</c:v>
                </c:pt>
                <c:pt idx="23">
                  <c:v>0.15379999999999999</c:v>
                </c:pt>
                <c:pt idx="24">
                  <c:v>0.14460000000000001</c:v>
                </c:pt>
                <c:pt idx="25">
                  <c:v>0.14460000000000001</c:v>
                </c:pt>
                <c:pt idx="26">
                  <c:v>0.14460000000000001</c:v>
                </c:pt>
                <c:pt idx="27">
                  <c:v>0.13830000000000001</c:v>
                </c:pt>
                <c:pt idx="28">
                  <c:v>0.13730000000000001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25-4739-9921-5F9336AEC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764560"/>
        <c:axId val="481650288"/>
      </c:lineChart>
      <c:dateAx>
        <c:axId val="66976456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81650288"/>
        <c:crosses val="autoZero"/>
        <c:auto val="1"/>
        <c:lblOffset val="100"/>
        <c:baseTimeUnit val="days"/>
        <c:majorUnit val="2"/>
        <c:majorTimeUnit val="days"/>
      </c:dateAx>
      <c:valAx>
        <c:axId val="48165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76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Cyclomatic</a:t>
            </a:r>
            <a:r>
              <a:rPr lang="de-DE" baseline="0"/>
              <a:t> complexity in relation to total lines of code</a:t>
            </a:r>
            <a:endParaRPr lang="de-DE"/>
          </a:p>
        </c:rich>
      </c:tx>
      <c:layout>
        <c:manualLayout>
          <c:xMode val="edge"/>
          <c:yMode val="edge"/>
          <c:x val="0.26640508823185294"/>
          <c:y val="4.7821642594347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4.9182480334981522E-2"/>
          <c:y val="0.13093586730526649"/>
          <c:w val="0.89947757898251779"/>
          <c:h val="0.66595936871527428"/>
        </c:manualLayout>
      </c:layout>
      <c:lineChart>
        <c:grouping val="standard"/>
        <c:varyColors val="0"/>
        <c:ser>
          <c:idx val="0"/>
          <c:order val="0"/>
          <c:tx>
            <c:strRef>
              <c:f>Tabelle1!$A$16</c:f>
              <c:strCache>
                <c:ptCount val="1"/>
                <c:pt idx="0">
                  <c:v>Total lines of code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Tabelle1!$C$2:$AE$2</c:f>
              <c:numCache>
                <c:formatCode>m/d/yyyy</c:formatCode>
                <c:ptCount val="29"/>
                <c:pt idx="0">
                  <c:v>44284</c:v>
                </c:pt>
                <c:pt idx="1">
                  <c:v>44286</c:v>
                </c:pt>
                <c:pt idx="2">
                  <c:v>44288</c:v>
                </c:pt>
                <c:pt idx="3">
                  <c:v>44290</c:v>
                </c:pt>
                <c:pt idx="4">
                  <c:v>44292</c:v>
                </c:pt>
                <c:pt idx="5">
                  <c:v>44294</c:v>
                </c:pt>
                <c:pt idx="6">
                  <c:v>44296</c:v>
                </c:pt>
                <c:pt idx="7">
                  <c:v>44298</c:v>
                </c:pt>
                <c:pt idx="8">
                  <c:v>44300</c:v>
                </c:pt>
                <c:pt idx="9">
                  <c:v>44302</c:v>
                </c:pt>
                <c:pt idx="10">
                  <c:v>44304</c:v>
                </c:pt>
                <c:pt idx="11">
                  <c:v>44306</c:v>
                </c:pt>
                <c:pt idx="12">
                  <c:v>44308</c:v>
                </c:pt>
                <c:pt idx="13">
                  <c:v>44310</c:v>
                </c:pt>
                <c:pt idx="14">
                  <c:v>44312</c:v>
                </c:pt>
                <c:pt idx="15">
                  <c:v>44314</c:v>
                </c:pt>
                <c:pt idx="16">
                  <c:v>44316</c:v>
                </c:pt>
                <c:pt idx="17">
                  <c:v>44318</c:v>
                </c:pt>
                <c:pt idx="18">
                  <c:v>44320</c:v>
                </c:pt>
                <c:pt idx="19">
                  <c:v>44322</c:v>
                </c:pt>
                <c:pt idx="20">
                  <c:v>44324</c:v>
                </c:pt>
                <c:pt idx="21">
                  <c:v>44326</c:v>
                </c:pt>
                <c:pt idx="22">
                  <c:v>44328</c:v>
                </c:pt>
                <c:pt idx="23">
                  <c:v>44330</c:v>
                </c:pt>
                <c:pt idx="24">
                  <c:v>44332</c:v>
                </c:pt>
                <c:pt idx="25">
                  <c:v>44334</c:v>
                </c:pt>
                <c:pt idx="26">
                  <c:v>44336</c:v>
                </c:pt>
                <c:pt idx="27">
                  <c:v>44338</c:v>
                </c:pt>
                <c:pt idx="28">
                  <c:v>44340</c:v>
                </c:pt>
              </c:numCache>
            </c:numRef>
          </c:cat>
          <c:val>
            <c:numRef>
              <c:f>Tabelle1!$C$16:$AE$16</c:f>
              <c:numCache>
                <c:formatCode>General</c:formatCode>
                <c:ptCount val="29"/>
                <c:pt idx="0">
                  <c:v>1377</c:v>
                </c:pt>
                <c:pt idx="1">
                  <c:v>1643</c:v>
                </c:pt>
                <c:pt idx="2">
                  <c:v>1832</c:v>
                </c:pt>
                <c:pt idx="3">
                  <c:v>1802</c:v>
                </c:pt>
                <c:pt idx="4">
                  <c:v>1905</c:v>
                </c:pt>
                <c:pt idx="5">
                  <c:v>3524</c:v>
                </c:pt>
                <c:pt idx="6">
                  <c:v>3684</c:v>
                </c:pt>
                <c:pt idx="7">
                  <c:v>3853</c:v>
                </c:pt>
                <c:pt idx="8">
                  <c:v>4332</c:v>
                </c:pt>
                <c:pt idx="9">
                  <c:v>4940</c:v>
                </c:pt>
                <c:pt idx="10">
                  <c:v>5592</c:v>
                </c:pt>
                <c:pt idx="11">
                  <c:v>5592</c:v>
                </c:pt>
                <c:pt idx="12">
                  <c:v>5592</c:v>
                </c:pt>
                <c:pt idx="13">
                  <c:v>5592</c:v>
                </c:pt>
                <c:pt idx="14">
                  <c:v>8033</c:v>
                </c:pt>
                <c:pt idx="15">
                  <c:v>8060</c:v>
                </c:pt>
                <c:pt idx="16">
                  <c:v>8089</c:v>
                </c:pt>
                <c:pt idx="17">
                  <c:v>8089</c:v>
                </c:pt>
                <c:pt idx="18">
                  <c:v>8638</c:v>
                </c:pt>
                <c:pt idx="19">
                  <c:v>8638</c:v>
                </c:pt>
                <c:pt idx="20">
                  <c:v>8638</c:v>
                </c:pt>
                <c:pt idx="21">
                  <c:v>9953</c:v>
                </c:pt>
                <c:pt idx="22">
                  <c:v>10086</c:v>
                </c:pt>
                <c:pt idx="23">
                  <c:v>10086</c:v>
                </c:pt>
                <c:pt idx="24">
                  <c:v>10157</c:v>
                </c:pt>
                <c:pt idx="25">
                  <c:v>11807</c:v>
                </c:pt>
                <c:pt idx="26">
                  <c:v>11893</c:v>
                </c:pt>
                <c:pt idx="27">
                  <c:v>12461</c:v>
                </c:pt>
                <c:pt idx="28">
                  <c:v>13061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7F-49C9-B0F3-A06445D9F94C}"/>
            </c:ext>
          </c:extLst>
        </c:ser>
        <c:ser>
          <c:idx val="1"/>
          <c:order val="1"/>
          <c:tx>
            <c:strRef>
              <c:f>Tabelle1!$A$17</c:f>
              <c:strCache>
                <c:ptCount val="1"/>
                <c:pt idx="0">
                  <c:v>Average cyclomatic complexity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Tabelle1!$C$2:$AE$2</c:f>
              <c:numCache>
                <c:formatCode>m/d/yyyy</c:formatCode>
                <c:ptCount val="29"/>
                <c:pt idx="0">
                  <c:v>44284</c:v>
                </c:pt>
                <c:pt idx="1">
                  <c:v>44286</c:v>
                </c:pt>
                <c:pt idx="2">
                  <c:v>44288</c:v>
                </c:pt>
                <c:pt idx="3">
                  <c:v>44290</c:v>
                </c:pt>
                <c:pt idx="4">
                  <c:v>44292</c:v>
                </c:pt>
                <c:pt idx="5">
                  <c:v>44294</c:v>
                </c:pt>
                <c:pt idx="6">
                  <c:v>44296</c:v>
                </c:pt>
                <c:pt idx="7">
                  <c:v>44298</c:v>
                </c:pt>
                <c:pt idx="8">
                  <c:v>44300</c:v>
                </c:pt>
                <c:pt idx="9">
                  <c:v>44302</c:v>
                </c:pt>
                <c:pt idx="10">
                  <c:v>44304</c:v>
                </c:pt>
                <c:pt idx="11">
                  <c:v>44306</c:v>
                </c:pt>
                <c:pt idx="12">
                  <c:v>44308</c:v>
                </c:pt>
                <c:pt idx="13">
                  <c:v>44310</c:v>
                </c:pt>
                <c:pt idx="14">
                  <c:v>44312</c:v>
                </c:pt>
                <c:pt idx="15">
                  <c:v>44314</c:v>
                </c:pt>
                <c:pt idx="16">
                  <c:v>44316</c:v>
                </c:pt>
                <c:pt idx="17">
                  <c:v>44318</c:v>
                </c:pt>
                <c:pt idx="18">
                  <c:v>44320</c:v>
                </c:pt>
                <c:pt idx="19">
                  <c:v>44322</c:v>
                </c:pt>
                <c:pt idx="20">
                  <c:v>44324</c:v>
                </c:pt>
                <c:pt idx="21">
                  <c:v>44326</c:v>
                </c:pt>
                <c:pt idx="22">
                  <c:v>44328</c:v>
                </c:pt>
                <c:pt idx="23">
                  <c:v>44330</c:v>
                </c:pt>
                <c:pt idx="24">
                  <c:v>44332</c:v>
                </c:pt>
                <c:pt idx="25">
                  <c:v>44334</c:v>
                </c:pt>
                <c:pt idx="26">
                  <c:v>44336</c:v>
                </c:pt>
                <c:pt idx="27">
                  <c:v>44338</c:v>
                </c:pt>
                <c:pt idx="28">
                  <c:v>44340</c:v>
                </c:pt>
              </c:numCache>
            </c:numRef>
          </c:cat>
          <c:val>
            <c:numRef>
              <c:f>Tabelle1!$C$17:$AE$17</c:f>
              <c:numCache>
                <c:formatCode>General</c:formatCode>
                <c:ptCount val="29"/>
                <c:pt idx="0">
                  <c:v>3.46</c:v>
                </c:pt>
                <c:pt idx="1">
                  <c:v>3.16</c:v>
                </c:pt>
                <c:pt idx="2">
                  <c:v>3.14</c:v>
                </c:pt>
                <c:pt idx="3">
                  <c:v>3.17</c:v>
                </c:pt>
                <c:pt idx="4">
                  <c:v>3.16</c:v>
                </c:pt>
                <c:pt idx="5">
                  <c:v>7.06</c:v>
                </c:pt>
                <c:pt idx="6">
                  <c:v>7.11</c:v>
                </c:pt>
                <c:pt idx="7">
                  <c:v>7.33</c:v>
                </c:pt>
                <c:pt idx="8">
                  <c:v>5.77</c:v>
                </c:pt>
                <c:pt idx="9">
                  <c:v>5.6</c:v>
                </c:pt>
                <c:pt idx="10">
                  <c:v>5.43</c:v>
                </c:pt>
                <c:pt idx="11">
                  <c:v>5.43</c:v>
                </c:pt>
                <c:pt idx="12">
                  <c:v>5.43</c:v>
                </c:pt>
                <c:pt idx="13">
                  <c:v>5.43</c:v>
                </c:pt>
                <c:pt idx="14">
                  <c:v>4.49</c:v>
                </c:pt>
                <c:pt idx="15">
                  <c:v>4.49</c:v>
                </c:pt>
                <c:pt idx="16">
                  <c:v>4.4800000000000004</c:v>
                </c:pt>
                <c:pt idx="17">
                  <c:v>4.4800000000000004</c:v>
                </c:pt>
                <c:pt idx="18">
                  <c:v>4.3</c:v>
                </c:pt>
                <c:pt idx="19">
                  <c:v>4.3</c:v>
                </c:pt>
                <c:pt idx="20">
                  <c:v>4.3</c:v>
                </c:pt>
                <c:pt idx="21">
                  <c:v>4.28</c:v>
                </c:pt>
                <c:pt idx="22">
                  <c:v>4.3600000000000003</c:v>
                </c:pt>
                <c:pt idx="23">
                  <c:v>4.3600000000000003</c:v>
                </c:pt>
                <c:pt idx="24">
                  <c:v>4.49</c:v>
                </c:pt>
                <c:pt idx="25">
                  <c:v>3.42</c:v>
                </c:pt>
                <c:pt idx="26">
                  <c:v>3.42</c:v>
                </c:pt>
                <c:pt idx="27">
                  <c:v>3.43</c:v>
                </c:pt>
                <c:pt idx="28">
                  <c:v>3.39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7F-49C9-B0F3-A06445D9F94C}"/>
            </c:ext>
          </c:extLst>
        </c:ser>
        <c:ser>
          <c:idx val="2"/>
          <c:order val="2"/>
          <c:tx>
            <c:strRef>
              <c:f>Tabelle1!$A$18</c:f>
              <c:strCache>
                <c:ptCount val="1"/>
                <c:pt idx="0">
                  <c:v>Total cyclomatic complexity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Tabelle1!$C$2:$AE$2</c:f>
              <c:numCache>
                <c:formatCode>m/d/yyyy</c:formatCode>
                <c:ptCount val="29"/>
                <c:pt idx="0">
                  <c:v>44284</c:v>
                </c:pt>
                <c:pt idx="1">
                  <c:v>44286</c:v>
                </c:pt>
                <c:pt idx="2">
                  <c:v>44288</c:v>
                </c:pt>
                <c:pt idx="3">
                  <c:v>44290</c:v>
                </c:pt>
                <c:pt idx="4">
                  <c:v>44292</c:v>
                </c:pt>
                <c:pt idx="5">
                  <c:v>44294</c:v>
                </c:pt>
                <c:pt idx="6">
                  <c:v>44296</c:v>
                </c:pt>
                <c:pt idx="7">
                  <c:v>44298</c:v>
                </c:pt>
                <c:pt idx="8">
                  <c:v>44300</c:v>
                </c:pt>
                <c:pt idx="9">
                  <c:v>44302</c:v>
                </c:pt>
                <c:pt idx="10">
                  <c:v>44304</c:v>
                </c:pt>
                <c:pt idx="11">
                  <c:v>44306</c:v>
                </c:pt>
                <c:pt idx="12">
                  <c:v>44308</c:v>
                </c:pt>
                <c:pt idx="13">
                  <c:v>44310</c:v>
                </c:pt>
                <c:pt idx="14">
                  <c:v>44312</c:v>
                </c:pt>
                <c:pt idx="15">
                  <c:v>44314</c:v>
                </c:pt>
                <c:pt idx="16">
                  <c:v>44316</c:v>
                </c:pt>
                <c:pt idx="17">
                  <c:v>44318</c:v>
                </c:pt>
                <c:pt idx="18">
                  <c:v>44320</c:v>
                </c:pt>
                <c:pt idx="19">
                  <c:v>44322</c:v>
                </c:pt>
                <c:pt idx="20">
                  <c:v>44324</c:v>
                </c:pt>
                <c:pt idx="21">
                  <c:v>44326</c:v>
                </c:pt>
                <c:pt idx="22">
                  <c:v>44328</c:v>
                </c:pt>
                <c:pt idx="23">
                  <c:v>44330</c:v>
                </c:pt>
                <c:pt idx="24">
                  <c:v>44332</c:v>
                </c:pt>
                <c:pt idx="25">
                  <c:v>44334</c:v>
                </c:pt>
                <c:pt idx="26">
                  <c:v>44336</c:v>
                </c:pt>
                <c:pt idx="27">
                  <c:v>44338</c:v>
                </c:pt>
                <c:pt idx="28">
                  <c:v>44340</c:v>
                </c:pt>
              </c:numCache>
            </c:numRef>
          </c:cat>
          <c:val>
            <c:numRef>
              <c:f>Tabelle1!$C$18:$AE$18</c:f>
              <c:numCache>
                <c:formatCode>General</c:formatCode>
                <c:ptCount val="29"/>
                <c:pt idx="0">
                  <c:v>218</c:v>
                </c:pt>
                <c:pt idx="1">
                  <c:v>253</c:v>
                </c:pt>
                <c:pt idx="2">
                  <c:v>267</c:v>
                </c:pt>
                <c:pt idx="3">
                  <c:v>276</c:v>
                </c:pt>
                <c:pt idx="4">
                  <c:v>307</c:v>
                </c:pt>
                <c:pt idx="5">
                  <c:v>840</c:v>
                </c:pt>
                <c:pt idx="6">
                  <c:v>875</c:v>
                </c:pt>
                <c:pt idx="7">
                  <c:v>901</c:v>
                </c:pt>
                <c:pt idx="8">
                  <c:v>1021</c:v>
                </c:pt>
                <c:pt idx="9">
                  <c:v>1147</c:v>
                </c:pt>
                <c:pt idx="10">
                  <c:v>1243</c:v>
                </c:pt>
                <c:pt idx="11">
                  <c:v>1243</c:v>
                </c:pt>
                <c:pt idx="12">
                  <c:v>1243</c:v>
                </c:pt>
                <c:pt idx="13">
                  <c:v>1243</c:v>
                </c:pt>
                <c:pt idx="14">
                  <c:v>1391</c:v>
                </c:pt>
                <c:pt idx="15">
                  <c:v>1391</c:v>
                </c:pt>
                <c:pt idx="16">
                  <c:v>1399</c:v>
                </c:pt>
                <c:pt idx="17">
                  <c:v>1399</c:v>
                </c:pt>
                <c:pt idx="18">
                  <c:v>1437</c:v>
                </c:pt>
                <c:pt idx="19">
                  <c:v>1437</c:v>
                </c:pt>
                <c:pt idx="20">
                  <c:v>1437</c:v>
                </c:pt>
                <c:pt idx="21">
                  <c:v>1617</c:v>
                </c:pt>
                <c:pt idx="22">
                  <c:v>1661</c:v>
                </c:pt>
                <c:pt idx="23">
                  <c:v>1661</c:v>
                </c:pt>
                <c:pt idx="24">
                  <c:v>1712</c:v>
                </c:pt>
                <c:pt idx="25">
                  <c:v>1881</c:v>
                </c:pt>
                <c:pt idx="26">
                  <c:v>1882</c:v>
                </c:pt>
                <c:pt idx="27">
                  <c:v>1888</c:v>
                </c:pt>
                <c:pt idx="28">
                  <c:v>1945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47F-49C9-B0F3-A06445D9F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650896"/>
        <c:axId val="705651216"/>
      </c:lineChart>
      <c:dateAx>
        <c:axId val="705650896"/>
        <c:scaling>
          <c:orientation val="minMax"/>
        </c:scaling>
        <c:delete val="0"/>
        <c:axPos val="b"/>
        <c:numFmt formatCode="m/d/yyyy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5651216"/>
        <c:crosses val="autoZero"/>
        <c:auto val="1"/>
        <c:lblOffset val="100"/>
        <c:baseTimeUnit val="days"/>
        <c:majorUnit val="2"/>
        <c:majorTimeUnit val="days"/>
      </c:dateAx>
      <c:valAx>
        <c:axId val="70565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5650896"/>
        <c:crossesAt val="44298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139051433396694"/>
          <c:y val="0.94440715220988714"/>
          <c:w val="0.62286267866943168"/>
          <c:h val="4.60285192712433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25</xdr:row>
      <xdr:rowOff>7619</xdr:rowOff>
    </xdr:from>
    <xdr:to>
      <xdr:col>7</xdr:col>
      <xdr:colOff>486104</xdr:colOff>
      <xdr:row>51</xdr:row>
      <xdr:rowOff>26275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3AB4A7B3-FE37-4B5D-841B-3BF5A7A67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521050</xdr:colOff>
      <xdr:row>24</xdr:row>
      <xdr:rowOff>20758</xdr:rowOff>
    </xdr:from>
    <xdr:to>
      <xdr:col>22</xdr:col>
      <xdr:colOff>201283</xdr:colOff>
      <xdr:row>67</xdr:row>
      <xdr:rowOff>100642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77E128FB-B23D-4692-9CC6-C56E5E520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2207-CF59-4294-A0BB-210D396936F8}">
  <dimension ref="A2:AE23"/>
  <sheetViews>
    <sheetView tabSelected="1" topLeftCell="A15" zoomScale="92" zoomScaleNormal="92" workbookViewId="0">
      <selection activeCell="AF14" sqref="AF14"/>
    </sheetView>
  </sheetViews>
  <sheetFormatPr baseColWidth="10" defaultRowHeight="14.4" x14ac:dyDescent="0.3"/>
  <cols>
    <col min="1" max="1" width="30" customWidth="1"/>
  </cols>
  <sheetData>
    <row r="2" spans="1:31" x14ac:dyDescent="0.3">
      <c r="A2" s="4" t="s">
        <v>6</v>
      </c>
      <c r="C2" s="2">
        <f>DATE(2021,3,29)</f>
        <v>44284</v>
      </c>
      <c r="D2" s="2">
        <f>DATE(2021,3,31)</f>
        <v>44286</v>
      </c>
      <c r="E2" s="2">
        <f>DATE(2021,4,2)</f>
        <v>44288</v>
      </c>
      <c r="F2" s="2">
        <f>DATE(2021,4,4)</f>
        <v>44290</v>
      </c>
      <c r="G2" s="2">
        <f>DATE(2021,4,6)</f>
        <v>44292</v>
      </c>
      <c r="H2" s="2">
        <f>DATE(2021,4,8)</f>
        <v>44294</v>
      </c>
      <c r="I2" s="2">
        <f>DATE(2021,4,10)</f>
        <v>44296</v>
      </c>
      <c r="J2" s="2">
        <f>DATE(2021,4,12)</f>
        <v>44298</v>
      </c>
      <c r="K2" s="2">
        <f>DATE(2021,4,14)</f>
        <v>44300</v>
      </c>
      <c r="L2" s="2">
        <f>DATE(2021,4,16)</f>
        <v>44302</v>
      </c>
      <c r="M2" s="2">
        <f>DATE(2021,4,18)</f>
        <v>44304</v>
      </c>
      <c r="N2" s="2">
        <f>DATE(2021,4,20)</f>
        <v>44306</v>
      </c>
      <c r="O2" s="2">
        <f>DATE(2021,4,22)</f>
        <v>44308</v>
      </c>
      <c r="P2" s="2">
        <f>DATE(2021,4,24)</f>
        <v>44310</v>
      </c>
      <c r="Q2" s="2">
        <f>DATE(2021,4,26)</f>
        <v>44312</v>
      </c>
      <c r="R2" s="2">
        <f>DATE(2021,4,28)</f>
        <v>44314</v>
      </c>
      <c r="S2" s="2">
        <f>DATE(2021,4,30)</f>
        <v>44316</v>
      </c>
      <c r="T2" s="2">
        <f>DATE(2021,5,2)</f>
        <v>44318</v>
      </c>
      <c r="U2" s="2">
        <f>DATE(2021,5,4)</f>
        <v>44320</v>
      </c>
      <c r="V2" s="2">
        <f>DATE(2021,5,6)</f>
        <v>44322</v>
      </c>
      <c r="W2" s="2">
        <f>DATE(2021,5,8)</f>
        <v>44324</v>
      </c>
      <c r="X2" s="2">
        <f>DATE(2021,5,10)</f>
        <v>44326</v>
      </c>
      <c r="Y2" s="2">
        <f>DATE(2021,5,12)</f>
        <v>44328</v>
      </c>
      <c r="Z2" s="2">
        <f>DATE(2021,5,14)</f>
        <v>44330</v>
      </c>
      <c r="AA2" s="2">
        <f>DATE(2021,5,16)</f>
        <v>44332</v>
      </c>
      <c r="AB2" s="2">
        <f>DATE(2021,5,18)</f>
        <v>44334</v>
      </c>
      <c r="AC2" s="2">
        <f>DATE(2021,5,20)</f>
        <v>44336</v>
      </c>
      <c r="AD2" s="2">
        <f>DATE(2021,5,22)</f>
        <v>44338</v>
      </c>
      <c r="AE2" s="2">
        <f>DATE(2021,5,24)</f>
        <v>44340</v>
      </c>
    </row>
    <row r="4" spans="1:31" x14ac:dyDescent="0.3">
      <c r="A4" s="4" t="s">
        <v>7</v>
      </c>
    </row>
    <row r="5" spans="1:31" x14ac:dyDescent="0.3">
      <c r="A5" s="1" t="s">
        <v>0</v>
      </c>
      <c r="C5">
        <v>1377</v>
      </c>
      <c r="D5">
        <v>1643</v>
      </c>
      <c r="E5">
        <v>1832</v>
      </c>
      <c r="F5">
        <v>1802</v>
      </c>
      <c r="G5">
        <v>1905</v>
      </c>
      <c r="H5">
        <v>3524</v>
      </c>
      <c r="I5">
        <v>3684</v>
      </c>
      <c r="J5">
        <v>3853</v>
      </c>
      <c r="K5">
        <v>4332</v>
      </c>
      <c r="L5">
        <v>4940</v>
      </c>
      <c r="M5">
        <v>5592</v>
      </c>
      <c r="N5" s="1">
        <v>5592</v>
      </c>
      <c r="O5" s="1">
        <v>5592</v>
      </c>
      <c r="P5" s="1">
        <v>5592</v>
      </c>
      <c r="Q5">
        <v>8033</v>
      </c>
      <c r="R5">
        <v>8060</v>
      </c>
      <c r="S5">
        <v>8089</v>
      </c>
      <c r="T5" s="1">
        <v>8089</v>
      </c>
      <c r="U5">
        <v>8638</v>
      </c>
      <c r="V5" s="1">
        <v>8638</v>
      </c>
      <c r="W5" s="1">
        <v>8638</v>
      </c>
      <c r="X5">
        <v>9953</v>
      </c>
      <c r="Y5">
        <v>10086</v>
      </c>
      <c r="Z5" s="1">
        <v>10086</v>
      </c>
      <c r="AA5">
        <v>10157</v>
      </c>
      <c r="AB5">
        <v>11807</v>
      </c>
      <c r="AC5">
        <v>11893</v>
      </c>
      <c r="AD5">
        <v>12461</v>
      </c>
      <c r="AE5">
        <v>13061</v>
      </c>
    </row>
    <row r="6" spans="1:31" x14ac:dyDescent="0.3">
      <c r="A6" s="1" t="s">
        <v>1</v>
      </c>
      <c r="C6">
        <v>459</v>
      </c>
      <c r="D6">
        <v>410.75</v>
      </c>
      <c r="E6">
        <v>458</v>
      </c>
      <c r="F6">
        <v>450.5</v>
      </c>
      <c r="G6">
        <v>381</v>
      </c>
      <c r="H6">
        <v>881</v>
      </c>
      <c r="I6">
        <v>921</v>
      </c>
      <c r="J6">
        <v>963.25</v>
      </c>
      <c r="K6">
        <v>866.4</v>
      </c>
      <c r="L6">
        <v>988</v>
      </c>
      <c r="M6">
        <v>932</v>
      </c>
      <c r="N6" s="1">
        <v>932</v>
      </c>
      <c r="O6" s="1">
        <v>932</v>
      </c>
      <c r="P6" s="1">
        <v>932</v>
      </c>
      <c r="Q6">
        <v>1338.83</v>
      </c>
      <c r="R6">
        <v>1343.33</v>
      </c>
      <c r="S6">
        <v>1348.17</v>
      </c>
      <c r="T6" s="1">
        <v>1348.17</v>
      </c>
      <c r="U6">
        <v>1234</v>
      </c>
      <c r="V6" s="1">
        <v>1234</v>
      </c>
      <c r="W6" s="1">
        <v>1234</v>
      </c>
      <c r="X6">
        <v>1244.1199999999999</v>
      </c>
      <c r="Y6">
        <v>1260.75</v>
      </c>
      <c r="Z6" s="1">
        <v>1260.75</v>
      </c>
      <c r="AA6">
        <v>1269.6199999999999</v>
      </c>
      <c r="AB6">
        <v>1475.88</v>
      </c>
      <c r="AC6">
        <v>1486.62</v>
      </c>
      <c r="AD6">
        <v>1557.62</v>
      </c>
      <c r="AE6">
        <v>1632.62</v>
      </c>
    </row>
    <row r="7" spans="1:31" x14ac:dyDescent="0.3">
      <c r="N7" s="1"/>
      <c r="O7" s="1"/>
      <c r="P7" s="1"/>
      <c r="T7" s="1"/>
      <c r="V7" s="1"/>
      <c r="W7" s="1"/>
      <c r="Z7" s="1"/>
    </row>
    <row r="8" spans="1:31" x14ac:dyDescent="0.3">
      <c r="A8" s="4" t="s">
        <v>5</v>
      </c>
      <c r="N8" s="1"/>
      <c r="O8" s="1"/>
      <c r="P8" s="1"/>
      <c r="T8" s="1"/>
      <c r="V8" s="1"/>
      <c r="W8" s="1"/>
      <c r="Z8" s="1"/>
    </row>
    <row r="9" spans="1:31" x14ac:dyDescent="0.3">
      <c r="A9" s="1" t="s">
        <v>9</v>
      </c>
      <c r="C9" s="3">
        <v>0.37040000000000001</v>
      </c>
      <c r="D9" s="3">
        <v>0.25640000000000002</v>
      </c>
      <c r="E9" s="3">
        <v>0.25</v>
      </c>
      <c r="F9" s="3">
        <v>0.25</v>
      </c>
      <c r="G9" s="3">
        <v>0.25</v>
      </c>
      <c r="H9" s="3">
        <v>0.23810000000000001</v>
      </c>
      <c r="I9" s="3">
        <v>0.2326</v>
      </c>
      <c r="J9" s="3">
        <v>0.2326</v>
      </c>
      <c r="K9" s="3">
        <v>0.37040000000000001</v>
      </c>
      <c r="L9" s="3">
        <v>0.37040000000000001</v>
      </c>
      <c r="M9" s="3">
        <v>0.33329999999999999</v>
      </c>
      <c r="N9" s="3">
        <v>0.33329999999999999</v>
      </c>
      <c r="O9" s="3">
        <v>0.33329999999999999</v>
      </c>
      <c r="P9" s="3">
        <v>0.33329999999999999</v>
      </c>
      <c r="Q9" s="3">
        <v>0.25</v>
      </c>
      <c r="R9" s="3">
        <v>0.25</v>
      </c>
      <c r="S9" s="3">
        <v>0.25</v>
      </c>
      <c r="T9" s="3">
        <v>0.25</v>
      </c>
      <c r="U9" s="3">
        <v>0.23810000000000001</v>
      </c>
      <c r="V9" s="3">
        <v>0.23810000000000001</v>
      </c>
      <c r="W9" s="3">
        <v>0.23810000000000001</v>
      </c>
      <c r="X9" s="3">
        <v>0.33329999999999999</v>
      </c>
      <c r="Y9" s="3">
        <v>0.3256</v>
      </c>
      <c r="Z9" s="3">
        <v>0.3256</v>
      </c>
      <c r="AA9" s="3">
        <v>0.3256</v>
      </c>
      <c r="AB9" s="3">
        <v>0.37209999999999999</v>
      </c>
      <c r="AC9" s="3">
        <v>0.37209999999999999</v>
      </c>
      <c r="AD9" s="3">
        <v>0.76639999999999997</v>
      </c>
      <c r="AE9" s="3">
        <v>0.77269999999999994</v>
      </c>
    </row>
    <row r="10" spans="1:31" x14ac:dyDescent="0.3">
      <c r="A10" s="1" t="s">
        <v>10</v>
      </c>
      <c r="C10" s="3">
        <v>0.38100000000000001</v>
      </c>
      <c r="D10" s="3">
        <v>0.3</v>
      </c>
      <c r="E10" s="3">
        <v>0.28239999999999998</v>
      </c>
      <c r="F10" s="3">
        <v>0.28739999999999999</v>
      </c>
      <c r="G10" s="3">
        <v>0.3402</v>
      </c>
      <c r="H10" s="3">
        <v>0.57850000000000001</v>
      </c>
      <c r="I10" s="3">
        <v>0.56000000000000005</v>
      </c>
      <c r="J10" s="3">
        <v>0.57169999999999999</v>
      </c>
      <c r="K10" s="3">
        <v>0.47489999999999999</v>
      </c>
      <c r="L10" s="3">
        <v>0.43</v>
      </c>
      <c r="M10" s="3">
        <v>0.3896</v>
      </c>
      <c r="N10" s="3">
        <v>0.3896</v>
      </c>
      <c r="O10" s="3">
        <v>0.3896</v>
      </c>
      <c r="P10" s="3">
        <v>0.3896</v>
      </c>
      <c r="Q10" s="3">
        <v>0.40060000000000001</v>
      </c>
      <c r="R10" s="3">
        <v>0.40060000000000001</v>
      </c>
      <c r="S10" s="3">
        <v>0.39810000000000001</v>
      </c>
      <c r="T10" s="3">
        <v>0.39810000000000001</v>
      </c>
      <c r="U10" s="3">
        <v>0.38390000000000002</v>
      </c>
      <c r="V10" s="3">
        <v>0.38390000000000002</v>
      </c>
      <c r="W10" s="3">
        <v>0.38390000000000002</v>
      </c>
      <c r="X10" s="3">
        <v>0.48680000000000001</v>
      </c>
      <c r="Y10" s="3">
        <v>0.48830000000000001</v>
      </c>
      <c r="Z10" s="3">
        <v>0.48830000000000001</v>
      </c>
      <c r="AA10" s="3">
        <v>0.48830000000000001</v>
      </c>
      <c r="AB10" s="3">
        <v>0.3478</v>
      </c>
      <c r="AC10" s="3">
        <v>0.34720000000000001</v>
      </c>
      <c r="AD10" s="3">
        <v>0.53349999999999997</v>
      </c>
      <c r="AE10" s="3">
        <v>0.52780000000000005</v>
      </c>
    </row>
    <row r="11" spans="1:31" x14ac:dyDescent="0.3">
      <c r="A11" s="1" t="s">
        <v>11</v>
      </c>
      <c r="C11" s="3">
        <v>0.42030000000000001</v>
      </c>
      <c r="D11" s="3">
        <v>0.38159999999999999</v>
      </c>
      <c r="E11" s="3">
        <v>0.34520000000000001</v>
      </c>
      <c r="F11" s="3">
        <v>0.33700000000000002</v>
      </c>
      <c r="G11" s="3">
        <v>0.3448</v>
      </c>
      <c r="H11" s="3">
        <v>0.2843</v>
      </c>
      <c r="I11" s="3">
        <v>0.25219999999999998</v>
      </c>
      <c r="J11" s="3">
        <v>0.25219999999999998</v>
      </c>
      <c r="K11" s="3">
        <v>0.21190000000000001</v>
      </c>
      <c r="L11" s="3">
        <v>0.19389999999999999</v>
      </c>
      <c r="M11" s="3">
        <v>0.17299999999999999</v>
      </c>
      <c r="N11" s="3">
        <v>0.17299999999999999</v>
      </c>
      <c r="O11" s="3">
        <v>0.17299999999999999</v>
      </c>
      <c r="P11" s="3">
        <v>0.17299999999999999</v>
      </c>
      <c r="Q11" s="3">
        <v>0.1966</v>
      </c>
      <c r="R11" s="3">
        <v>0.19020000000000001</v>
      </c>
      <c r="S11" s="3">
        <v>0.18920000000000001</v>
      </c>
      <c r="T11" s="3">
        <v>0.18920000000000001</v>
      </c>
      <c r="U11" s="3">
        <v>0.1724</v>
      </c>
      <c r="V11" s="3">
        <v>0.1724</v>
      </c>
      <c r="W11" s="3">
        <v>0.1724</v>
      </c>
      <c r="X11" s="3">
        <v>0.16</v>
      </c>
      <c r="Y11" s="3">
        <v>0.15379999999999999</v>
      </c>
      <c r="Z11" s="3">
        <v>0.15379999999999999</v>
      </c>
      <c r="AA11" s="3">
        <v>0.14460000000000001</v>
      </c>
      <c r="AB11" s="3">
        <v>0.14460000000000001</v>
      </c>
      <c r="AC11" s="3">
        <v>0.14460000000000001</v>
      </c>
      <c r="AD11" s="3">
        <v>0.13830000000000001</v>
      </c>
      <c r="AE11" s="3">
        <v>0.13730000000000001</v>
      </c>
    </row>
    <row r="12" spans="1:31" x14ac:dyDescent="0.3">
      <c r="A12" s="1" t="s">
        <v>2</v>
      </c>
      <c r="C12" s="5">
        <v>27</v>
      </c>
      <c r="D12">
        <v>39</v>
      </c>
      <c r="E12" s="5">
        <v>40</v>
      </c>
      <c r="F12">
        <v>40</v>
      </c>
      <c r="G12" s="5">
        <v>40</v>
      </c>
      <c r="H12">
        <v>42</v>
      </c>
      <c r="I12" s="5">
        <v>43</v>
      </c>
      <c r="J12" s="5">
        <v>43</v>
      </c>
      <c r="K12" s="5">
        <v>27</v>
      </c>
      <c r="L12" s="5">
        <v>27</v>
      </c>
      <c r="M12" s="5">
        <v>30</v>
      </c>
      <c r="N12" s="5">
        <v>30</v>
      </c>
      <c r="O12" s="5">
        <v>30</v>
      </c>
      <c r="P12" s="5">
        <v>30</v>
      </c>
      <c r="Q12" s="5">
        <v>40</v>
      </c>
      <c r="R12">
        <v>40</v>
      </c>
      <c r="S12" s="5">
        <v>40</v>
      </c>
      <c r="T12" s="5">
        <v>40</v>
      </c>
      <c r="U12" s="5">
        <v>42</v>
      </c>
      <c r="V12" s="5">
        <v>42</v>
      </c>
      <c r="W12" s="5">
        <v>42</v>
      </c>
      <c r="X12" s="5">
        <v>42</v>
      </c>
      <c r="Y12" s="5">
        <v>43</v>
      </c>
      <c r="Z12" s="5">
        <v>43</v>
      </c>
      <c r="AA12">
        <v>43</v>
      </c>
      <c r="AB12" s="5">
        <v>43</v>
      </c>
      <c r="AC12" s="5">
        <v>43</v>
      </c>
      <c r="AD12" s="5">
        <v>43</v>
      </c>
      <c r="AE12" s="5">
        <v>44</v>
      </c>
    </row>
    <row r="13" spans="1:31" x14ac:dyDescent="0.3">
      <c r="N13" s="1"/>
      <c r="O13" s="1"/>
      <c r="P13" s="1"/>
      <c r="T13" s="1"/>
      <c r="V13" s="1"/>
      <c r="W13" s="1"/>
      <c r="Z13" s="1"/>
    </row>
    <row r="14" spans="1:31" x14ac:dyDescent="0.3">
      <c r="N14" s="1"/>
      <c r="O14" s="1"/>
      <c r="P14" s="1"/>
      <c r="T14" s="1"/>
      <c r="V14" s="1"/>
      <c r="W14" s="1"/>
      <c r="Z14" s="1"/>
    </row>
    <row r="15" spans="1:31" x14ac:dyDescent="0.3">
      <c r="A15" s="4" t="s">
        <v>8</v>
      </c>
      <c r="N15" s="1"/>
      <c r="O15" s="1"/>
      <c r="P15" s="1"/>
      <c r="T15" s="1"/>
      <c r="V15" s="1"/>
      <c r="W15" s="1"/>
      <c r="Z15" s="1"/>
    </row>
    <row r="16" spans="1:31" x14ac:dyDescent="0.3">
      <c r="A16" t="s">
        <v>0</v>
      </c>
      <c r="C16">
        <v>1377</v>
      </c>
      <c r="D16">
        <v>1643</v>
      </c>
      <c r="E16">
        <v>1832</v>
      </c>
      <c r="F16">
        <v>1802</v>
      </c>
      <c r="G16">
        <v>1905</v>
      </c>
      <c r="H16">
        <v>3524</v>
      </c>
      <c r="I16">
        <v>3684</v>
      </c>
      <c r="J16">
        <v>3853</v>
      </c>
      <c r="K16">
        <v>4332</v>
      </c>
      <c r="L16">
        <v>4940</v>
      </c>
      <c r="M16">
        <v>5592</v>
      </c>
      <c r="N16" s="1">
        <v>5592</v>
      </c>
      <c r="O16" s="1">
        <v>5592</v>
      </c>
      <c r="P16" s="1">
        <v>5592</v>
      </c>
      <c r="Q16">
        <v>8033</v>
      </c>
      <c r="R16">
        <v>8060</v>
      </c>
      <c r="S16">
        <v>8089</v>
      </c>
      <c r="T16" s="1">
        <v>8089</v>
      </c>
      <c r="U16">
        <v>8638</v>
      </c>
      <c r="V16" s="1">
        <v>8638</v>
      </c>
      <c r="W16" s="1">
        <v>8638</v>
      </c>
      <c r="X16">
        <v>9953</v>
      </c>
      <c r="Y16">
        <v>10086</v>
      </c>
      <c r="Z16" s="1">
        <v>10086</v>
      </c>
      <c r="AA16">
        <v>10157</v>
      </c>
      <c r="AB16">
        <v>11807</v>
      </c>
      <c r="AC16">
        <v>11893</v>
      </c>
      <c r="AD16">
        <v>12461</v>
      </c>
      <c r="AE16">
        <v>13061</v>
      </c>
    </row>
    <row r="17" spans="1:31" x14ac:dyDescent="0.3">
      <c r="A17" s="1" t="s">
        <v>3</v>
      </c>
      <c r="C17">
        <v>3.46</v>
      </c>
      <c r="D17">
        <v>3.16</v>
      </c>
      <c r="E17">
        <v>3.14</v>
      </c>
      <c r="F17">
        <v>3.17</v>
      </c>
      <c r="G17">
        <v>3.16</v>
      </c>
      <c r="H17">
        <v>7.06</v>
      </c>
      <c r="I17">
        <v>7.11</v>
      </c>
      <c r="J17">
        <v>7.33</v>
      </c>
      <c r="K17">
        <v>5.77</v>
      </c>
      <c r="L17">
        <v>5.6</v>
      </c>
      <c r="M17">
        <v>5.43</v>
      </c>
      <c r="N17" s="1">
        <v>5.43</v>
      </c>
      <c r="O17" s="1">
        <v>5.43</v>
      </c>
      <c r="P17" s="1">
        <v>5.43</v>
      </c>
      <c r="Q17">
        <v>4.49</v>
      </c>
      <c r="R17">
        <v>4.49</v>
      </c>
      <c r="S17">
        <v>4.4800000000000004</v>
      </c>
      <c r="T17" s="1">
        <v>4.4800000000000004</v>
      </c>
      <c r="U17">
        <v>4.3</v>
      </c>
      <c r="V17" s="1">
        <v>4.3</v>
      </c>
      <c r="W17" s="1">
        <v>4.3</v>
      </c>
      <c r="X17">
        <v>4.28</v>
      </c>
      <c r="Y17">
        <v>4.3600000000000003</v>
      </c>
      <c r="Z17" s="1">
        <v>4.3600000000000003</v>
      </c>
      <c r="AA17">
        <v>4.49</v>
      </c>
      <c r="AB17">
        <v>3.42</v>
      </c>
      <c r="AC17">
        <v>3.42</v>
      </c>
      <c r="AD17">
        <v>3.43</v>
      </c>
      <c r="AE17">
        <v>3.39</v>
      </c>
    </row>
    <row r="18" spans="1:31" x14ac:dyDescent="0.3">
      <c r="A18" s="1" t="s">
        <v>4</v>
      </c>
      <c r="C18">
        <v>218</v>
      </c>
      <c r="D18">
        <v>253</v>
      </c>
      <c r="E18">
        <v>267</v>
      </c>
      <c r="F18">
        <v>276</v>
      </c>
      <c r="G18">
        <v>307</v>
      </c>
      <c r="H18">
        <v>840</v>
      </c>
      <c r="I18">
        <v>875</v>
      </c>
      <c r="J18">
        <v>901</v>
      </c>
      <c r="K18">
        <v>1021</v>
      </c>
      <c r="L18">
        <v>1147</v>
      </c>
      <c r="M18">
        <v>1243</v>
      </c>
      <c r="N18" s="1">
        <v>1243</v>
      </c>
      <c r="O18" s="1">
        <v>1243</v>
      </c>
      <c r="P18" s="1">
        <v>1243</v>
      </c>
      <c r="Q18">
        <v>1391</v>
      </c>
      <c r="R18">
        <v>1391</v>
      </c>
      <c r="S18">
        <v>1399</v>
      </c>
      <c r="T18" s="1">
        <v>1399</v>
      </c>
      <c r="U18">
        <v>1437</v>
      </c>
      <c r="V18" s="1">
        <v>1437</v>
      </c>
      <c r="W18" s="1">
        <v>1437</v>
      </c>
      <c r="X18">
        <v>1617</v>
      </c>
      <c r="Y18">
        <v>1661</v>
      </c>
      <c r="Z18" s="1">
        <v>1661</v>
      </c>
      <c r="AA18">
        <v>1712</v>
      </c>
      <c r="AB18">
        <v>1881</v>
      </c>
      <c r="AC18">
        <v>1882</v>
      </c>
      <c r="AD18">
        <v>1888</v>
      </c>
      <c r="AE18">
        <v>1945</v>
      </c>
    </row>
    <row r="19" spans="1:31" x14ac:dyDescent="0.3">
      <c r="A19" s="1"/>
      <c r="N19" s="1"/>
      <c r="O19" s="1"/>
      <c r="P19" s="1"/>
    </row>
    <row r="20" spans="1:31" x14ac:dyDescent="0.3">
      <c r="N20" s="1"/>
      <c r="O20" s="1"/>
      <c r="P20" s="1"/>
    </row>
    <row r="21" spans="1:31" x14ac:dyDescent="0.3">
      <c r="A21" s="4" t="s">
        <v>12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</v>
      </c>
      <c r="M21">
        <v>4</v>
      </c>
      <c r="N21" s="1">
        <v>4</v>
      </c>
      <c r="O21" s="1">
        <v>4</v>
      </c>
      <c r="P21" s="1">
        <v>4</v>
      </c>
      <c r="Q21">
        <v>4</v>
      </c>
      <c r="R21">
        <f>SUM(3,2,5,1,1,1,1,5)</f>
        <v>19</v>
      </c>
      <c r="S21">
        <v>19</v>
      </c>
      <c r="T21">
        <v>19</v>
      </c>
      <c r="U21">
        <v>19</v>
      </c>
      <c r="V21">
        <v>19</v>
      </c>
      <c r="W21">
        <v>19</v>
      </c>
      <c r="X21">
        <v>17</v>
      </c>
      <c r="Y21">
        <v>17</v>
      </c>
      <c r="Z21">
        <v>17</v>
      </c>
      <c r="AA21">
        <v>17</v>
      </c>
      <c r="AB21">
        <v>17</v>
      </c>
      <c r="AC21">
        <v>17</v>
      </c>
      <c r="AD21">
        <v>17</v>
      </c>
      <c r="AE21">
        <v>17</v>
      </c>
    </row>
    <row r="22" spans="1:31" x14ac:dyDescent="0.3">
      <c r="N22" s="1"/>
      <c r="O22" s="1"/>
      <c r="P22" s="1"/>
    </row>
    <row r="23" spans="1:31" x14ac:dyDescent="0.3">
      <c r="A23" s="4" t="s">
        <v>13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">
        <v>0</v>
      </c>
      <c r="O23" s="1">
        <v>0</v>
      </c>
      <c r="P23" s="1">
        <v>0</v>
      </c>
      <c r="AD23" s="6">
        <v>0.46</v>
      </c>
      <c r="AE23" s="6">
        <v>0.46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Ribeiro</dc:creator>
  <cp:lastModifiedBy>André Ribeiro</cp:lastModifiedBy>
  <dcterms:created xsi:type="dcterms:W3CDTF">2021-04-14T19:45:50Z</dcterms:created>
  <dcterms:modified xsi:type="dcterms:W3CDTF">2021-05-24T03:22:37Z</dcterms:modified>
</cp:coreProperties>
</file>